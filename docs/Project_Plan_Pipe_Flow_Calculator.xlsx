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er" sheetId="1" state="visible" r:id="rId3"/>
    <sheet name="Schedule" sheetId="2" state="visible" r:id="rId4"/>
    <sheet name="Risk Register" sheetId="3" state="visible" r:id="rId5"/>
    <sheet name="Effort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<sst xmlns="http://schemas.openxmlformats.org/spreadsheetml/2006/main" count="137" uniqueCount="106">
  <si>
    <t xml:space="preserve">Project Charter - Pipe Flow &amp; Pump Sizing Calculator</t>
  </si>
  <si>
    <t xml:space="preserve">Project lead: Lucas Cerriku  |  Planned duration: Oct. 12 - Nov. 8, 2026 (4 weeks)</t>
  </si>
  <si>
    <t xml:space="preserve">Objective</t>
  </si>
  <si>
    <t xml:space="preserve">Build and validate a Python tool that calculates pressure drop, head loss and required pump power for single-phase pipe flow, and use it to compare pipe sizes for water and light crude oil.</t>
  </si>
  <si>
    <t xml:space="preserve">In scope</t>
  </si>
  <si>
    <t xml:space="preserve">Darcy-Weisbach pressure drop; laminar and turbulent (Colebrook-White) friction factor; minor fitting losses; elevation change; pump power; water (CoolProp) and light crude (user-defined) properties; scenario study and charts.</t>
  </si>
  <si>
    <t xml:space="preserve">Out of scope</t>
  </si>
  <si>
    <t xml:space="preserve">Multiphase flow, pipe networks, transient effects (water hammer), heat transfer, compressible gas flow.</t>
  </si>
  <si>
    <t xml:space="preserve">Deliverables</t>
  </si>
  <si>
    <t xml:space="preserve">1) pipe_flow_calculator.py  2) Validation results  3) 40-scenario results table (CSV)  4) Two engineering charts  5) README / write-up  6) This project plan (charter, schedule, risk register, effort budget).</t>
  </si>
  <si>
    <t xml:space="preserve">Success criteria</t>
  </si>
  <si>
    <t xml:space="preserve">Laminar case returns f = 64/Re exactly; Colebrook agrees with Swamee-Jain within 3%; hand-calculated test case matches within 1%; all 40 scenarios run without error; finished within the 40-hour effort budget.</t>
  </si>
  <si>
    <t xml:space="preserve">Constraints</t>
  </si>
  <si>
    <t xml:space="preserve">About 10 hours per week alongside full-time studies, part-time work and varsity racing; free/open-source tools only ($0 budget).</t>
  </si>
  <si>
    <t xml:space="preserve">Assumptions</t>
  </si>
  <si>
    <t xml:space="preserve">Steady, incompressible, fully developed flow; commercial steel roughness 0.045 mm; light crude rho = 850 kg/m^3, mu = 0.005 Pa*s (typical values, replaceable with lab data); pump efficiency 75%.</t>
  </si>
  <si>
    <t xml:space="preserve">Stakeholders</t>
  </si>
  <si>
    <t xml:space="preserve">Project lead (self); peer / instructor reviewer for the validation results; target audience: engineering recruiters.</t>
  </si>
  <si>
    <t xml:space="preserve">Schedule &amp; Gantt Chart</t>
  </si>
  <si>
    <t xml:space="preserve">Blue cells are inputs: edit Start, End, Status and % Complete as you go. Bars update automatically.</t>
  </si>
  <si>
    <t xml:space="preserve">Oct. 2026</t>
  </si>
  <si>
    <t xml:space="preserve">Nov. 2026</t>
  </si>
  <si>
    <t xml:space="preserve">WBS</t>
  </si>
  <si>
    <t xml:space="preserve">Task</t>
  </si>
  <si>
    <t xml:space="preserve">Phase</t>
  </si>
  <si>
    <t xml:space="preserve">Start</t>
  </si>
  <si>
    <t xml:space="preserve">End</t>
  </si>
  <si>
    <t xml:space="preserve">Days</t>
  </si>
  <si>
    <t xml:space="preserve">Status</t>
  </si>
  <si>
    <t xml:space="preserve">% Done</t>
  </si>
  <si>
    <t xml:space="preserve">1.1</t>
  </si>
  <si>
    <t xml:space="preserve">Define scope, objectives &amp; success criteria</t>
  </si>
  <si>
    <t xml:space="preserve">Initiation</t>
  </si>
  <si>
    <t xml:space="preserve">Not started</t>
  </si>
  <si>
    <t xml:space="preserve">1.2</t>
  </si>
  <si>
    <t xml:space="preserve">Write project charter &amp; risk register</t>
  </si>
  <si>
    <t xml:space="preserve">2.1</t>
  </si>
  <si>
    <t xml:space="preserve">Review Darcy-Weisbach, Colebrook &amp; minor losses</t>
  </si>
  <si>
    <t xml:space="preserve">Research</t>
  </si>
  <si>
    <t xml:space="preserve">2.2</t>
  </si>
  <si>
    <t xml:space="preserve">Gather fluid property &amp; pipe roughness data</t>
  </si>
  <si>
    <t xml:space="preserve">3.1</t>
  </si>
  <si>
    <t xml:space="preserve">Code fluid property module (CoolProp)</t>
  </si>
  <si>
    <t xml:space="preserve">Development</t>
  </si>
  <si>
    <t xml:space="preserve">3.2</t>
  </si>
  <si>
    <t xml:space="preserve">Code friction factor solver (laminar/Colebrook)</t>
  </si>
  <si>
    <t xml:space="preserve">3.3</t>
  </si>
  <si>
    <t xml:space="preserve">Code pressure drop &amp; pump power functions</t>
  </si>
  <si>
    <t xml:space="preserve">4.1</t>
  </si>
  <si>
    <t xml:space="preserve">Validate vs hand calc, 64/Re and Swamee-Jain</t>
  </si>
  <si>
    <t xml:space="preserve">Testing</t>
  </si>
  <si>
    <t xml:space="preserve">5.1</t>
  </si>
  <si>
    <t xml:space="preserve">Run 40-scenario study &amp; build charts</t>
  </si>
  <si>
    <t xml:space="preserve">Analysis</t>
  </si>
  <si>
    <t xml:space="preserve">6.1</t>
  </si>
  <si>
    <t xml:space="preserve">Write README &amp; results summary</t>
  </si>
  <si>
    <t xml:space="preserve">Closeout</t>
  </si>
  <si>
    <t xml:space="preserve">6.2</t>
  </si>
  <si>
    <t xml:space="preserve">Lessons learned &amp; final review</t>
  </si>
  <si>
    <t xml:space="preserve">Total planned duration (days)</t>
  </si>
  <si>
    <t xml:space="preserve">Overall % complete (average)</t>
  </si>
  <si>
    <t xml:space="preserve">Legend: blue bar = planned, green bar = task marked Complete</t>
  </si>
  <si>
    <t xml:space="preserve">Risk Register</t>
  </si>
  <si>
    <t xml:space="preserve">Likelihood and Impact scored 1 (low) to 5 (high). Score = Likelihood x Impact; High &gt;= 15, Medium &gt;= 8.</t>
  </si>
  <si>
    <t xml:space="preserve">ID</t>
  </si>
  <si>
    <t xml:space="preserve">Risk</t>
  </si>
  <si>
    <t xml:space="preserve">Category</t>
  </si>
  <si>
    <t xml:space="preserve">Likelihood</t>
  </si>
  <si>
    <t xml:space="preserve">Impact</t>
  </si>
  <si>
    <t xml:space="preserve">Score</t>
  </si>
  <si>
    <t xml:space="preserve">Rating</t>
  </si>
  <si>
    <t xml:space="preserve">Mitigation</t>
  </si>
  <si>
    <t xml:space="preserve">R1</t>
  </si>
  <si>
    <t xml:space="preserve">Unit conversion error gives wrong results</t>
  </si>
  <si>
    <t xml:space="preserve">Technical</t>
  </si>
  <si>
    <t xml:space="preserve">Use SI units throughout; validate against a hand-calculated textbook case before running scenarios.</t>
  </si>
  <si>
    <t xml:space="preserve">Open</t>
  </si>
  <si>
    <t xml:space="preserve">R2</t>
  </si>
  <si>
    <t xml:space="preserve">Schedule slip from coursework, work and racing</t>
  </si>
  <si>
    <t xml:space="preserve">Schedule</t>
  </si>
  <si>
    <t xml:space="preserve">Plan ~10 h/week with weekend buffer; weekly progress check against the Gantt chart.</t>
  </si>
  <si>
    <t xml:space="preserve">R3</t>
  </si>
  <si>
    <t xml:space="preserve">Scope creep (pipe networks, multiphase flow)</t>
  </si>
  <si>
    <t xml:space="preserve">Scope</t>
  </si>
  <si>
    <t xml:space="preserve">Fixed scope in charter; log extra ideas in a 'future work' list instead of building them.</t>
  </si>
  <si>
    <t xml:space="preserve">R4</t>
  </si>
  <si>
    <t xml:space="preserve">Crude oil property data inaccurate</t>
  </si>
  <si>
    <t xml:space="preserve">Data</t>
  </si>
  <si>
    <t xml:space="preserve">Use typical published values, state them as assumptions, and let users enter lab data.</t>
  </si>
  <si>
    <t xml:space="preserve">R5</t>
  </si>
  <si>
    <t xml:space="preserve">Transitional flow (Re 2300-4000) less accurate</t>
  </si>
  <si>
    <t xml:space="preserve">Flag regime in every output; use Colebrook as a conservative estimate.</t>
  </si>
  <si>
    <t xml:space="preserve">R6</t>
  </si>
  <si>
    <t xml:space="preserve">Colebrook iteration fails to converge</t>
  </si>
  <si>
    <t xml:space="preserve">Start from Swamee-Jain estimate; set tolerance and iteration cap.</t>
  </si>
  <si>
    <t xml:space="preserve">R7</t>
  </si>
  <si>
    <t xml:space="preserve">CoolProp fails to install</t>
  </si>
  <si>
    <t xml:space="preserve">Tools</t>
  </si>
  <si>
    <t xml:space="preserve">Built-in water property correlations as fallback.</t>
  </si>
  <si>
    <t xml:space="preserve">Effort &amp; Cost Budget</t>
  </si>
  <si>
    <t xml:space="preserve">Enter actual hours in the blue column as you work. Software cost is $0 (Python, CoolProp, Matplotlib are free).</t>
  </si>
  <si>
    <t xml:space="preserve">Planned hours</t>
  </si>
  <si>
    <t xml:space="preserve">Actual hours</t>
  </si>
  <si>
    <t xml:space="preserve">Variance (h)</t>
  </si>
  <si>
    <t xml:space="preserve">Variance %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</si>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</sst>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"/>
    <numFmt numFmtId="166" formatCode="mmm\ d"/>
    <numFmt numFmtId="167" formatCode="0%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70AD47"/>
        </patternFill>
      </fill>
    </dxf>
    <dxf>
      <fill>
        <patternFill>
          <bgColor rgb="FF4472C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45" hidden="false" customHeight="true" outlineLevel="0" collapsed="false">
      <c r="A6" s="3" t="s">
        <v>6</v>
      </c>
      <c r="B6" s="4" t="s">
        <v>7</v>
      </c>
    </row>
    <row r="7" customFormat="false" ht="4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4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36" min="9" style="0" width="3.2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5" t="s">
        <v>19</v>
      </c>
    </row>
    <row r="3" customFormat="false" ht="15" hidden="false" customHeight="false" outlineLevel="0" collapsed="false">
      <c r="I3" s="6" t="s">
        <v>20</v>
      </c>
      <c r="AC3" s="6" t="s">
        <v>21</v>
      </c>
    </row>
    <row r="4" customFormat="false" ht="15" hidden="false" customHeight="false" outlineLevel="0" collapsed="false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8" t="n">
        <v>46307</v>
      </c>
      <c r="J4" s="8" t="n">
        <v>46308</v>
      </c>
      <c r="K4" s="8" t="n">
        <v>46309</v>
      </c>
      <c r="L4" s="8" t="n">
        <v>46310</v>
      </c>
      <c r="M4" s="8" t="n">
        <v>46311</v>
      </c>
      <c r="N4" s="8" t="n">
        <v>46312</v>
      </c>
      <c r="O4" s="8" t="n">
        <v>46313</v>
      </c>
      <c r="P4" s="8" t="n">
        <v>46314</v>
      </c>
      <c r="Q4" s="8" t="n">
        <v>46315</v>
      </c>
      <c r="R4" s="8" t="n">
        <v>46316</v>
      </c>
      <c r="S4" s="8" t="n">
        <v>46317</v>
      </c>
      <c r="T4" s="8" t="n">
        <v>46318</v>
      </c>
      <c r="U4" s="8" t="n">
        <v>46319</v>
      </c>
      <c r="V4" s="8" t="n">
        <v>46320</v>
      </c>
      <c r="W4" s="8" t="n">
        <v>46321</v>
      </c>
      <c r="X4" s="8" t="n">
        <v>46322</v>
      </c>
      <c r="Y4" s="8" t="n">
        <v>46323</v>
      </c>
      <c r="Z4" s="8" t="n">
        <v>46324</v>
      </c>
      <c r="AA4" s="8" t="n">
        <v>46325</v>
      </c>
      <c r="AB4" s="8" t="n">
        <v>46326</v>
      </c>
      <c r="AC4" s="8" t="n">
        <v>46327</v>
      </c>
      <c r="AD4" s="8" t="n">
        <v>46328</v>
      </c>
      <c r="AE4" s="8" t="n">
        <v>46329</v>
      </c>
      <c r="AF4" s="8" t="n">
        <v>46330</v>
      </c>
      <c r="AG4" s="8" t="n">
        <v>46331</v>
      </c>
      <c r="AH4" s="8" t="n">
        <v>46332</v>
      </c>
      <c r="AI4" s="8" t="n">
        <v>46333</v>
      </c>
      <c r="AJ4" s="8" t="n">
        <v>46334</v>
      </c>
    </row>
    <row r="5" customFormat="false" ht="15" hidden="false" customHeight="false" outlineLevel="0" collapsed="false">
      <c r="A5" s="9" t="s">
        <v>30</v>
      </c>
      <c r="B5" s="9" t="s">
        <v>31</v>
      </c>
      <c r="C5" s="9" t="s">
        <v>32</v>
      </c>
      <c r="D5" s="10" t="n">
        <v>46307</v>
      </c>
      <c r="E5" s="10" t="n">
        <v>46308</v>
      </c>
      <c r="F5" s="9" t="n">
        <f aca="false">E5-D5+1</f>
        <v>2</v>
      </c>
      <c r="G5" s="11" t="s">
        <v>33</v>
      </c>
      <c r="H5" s="12" t="n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customFormat="false" ht="15" hidden="false" customHeight="false" outlineLevel="0" collapsed="false">
      <c r="A6" s="9" t="s">
        <v>34</v>
      </c>
      <c r="B6" s="9" t="s">
        <v>35</v>
      </c>
      <c r="C6" s="9" t="s">
        <v>32</v>
      </c>
      <c r="D6" s="10" t="n">
        <v>46308</v>
      </c>
      <c r="E6" s="10" t="n">
        <v>46309</v>
      </c>
      <c r="F6" s="9" t="n">
        <f aca="false">E6-D6+1</f>
        <v>2</v>
      </c>
      <c r="G6" s="11" t="s">
        <v>33</v>
      </c>
      <c r="H6" s="12" t="n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customFormat="false" ht="15" hidden="false" customHeight="false" outlineLevel="0" collapsed="false">
      <c r="A7" s="9" t="s">
        <v>36</v>
      </c>
      <c r="B7" s="9" t="s">
        <v>37</v>
      </c>
      <c r="C7" s="9" t="s">
        <v>38</v>
      </c>
      <c r="D7" s="10" t="n">
        <v>46310</v>
      </c>
      <c r="E7" s="10" t="n">
        <v>46313</v>
      </c>
      <c r="F7" s="9" t="n">
        <f aca="false">E7-D7+1</f>
        <v>4</v>
      </c>
      <c r="G7" s="11" t="s">
        <v>33</v>
      </c>
      <c r="H7" s="12" t="n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customFormat="false" ht="15" hidden="false" customHeight="false" outlineLevel="0" collapsed="false">
      <c r="A8" s="9" t="s">
        <v>39</v>
      </c>
      <c r="B8" s="9" t="s">
        <v>40</v>
      </c>
      <c r="C8" s="9" t="s">
        <v>38</v>
      </c>
      <c r="D8" s="10" t="n">
        <v>46312</v>
      </c>
      <c r="E8" s="10" t="n">
        <v>46314</v>
      </c>
      <c r="F8" s="9" t="n">
        <f aca="false">E8-D8+1</f>
        <v>3</v>
      </c>
      <c r="G8" s="11" t="s">
        <v>33</v>
      </c>
      <c r="H8" s="12" t="n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customFormat="false" ht="15" hidden="false" customHeight="false" outlineLevel="0" collapsed="false">
      <c r="A9" s="9" t="s">
        <v>41</v>
      </c>
      <c r="B9" s="9" t="s">
        <v>42</v>
      </c>
      <c r="C9" s="9" t="s">
        <v>43</v>
      </c>
      <c r="D9" s="10" t="n">
        <v>46315</v>
      </c>
      <c r="E9" s="10" t="n">
        <v>46317</v>
      </c>
      <c r="F9" s="9" t="n">
        <f aca="false">E9-D9+1</f>
        <v>3</v>
      </c>
      <c r="G9" s="11" t="s">
        <v>33</v>
      </c>
      <c r="H9" s="12" t="n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customFormat="false" ht="15" hidden="false" customHeight="false" outlineLevel="0" collapsed="false">
      <c r="A10" s="9" t="s">
        <v>44</v>
      </c>
      <c r="B10" s="9" t="s">
        <v>45</v>
      </c>
      <c r="C10" s="9" t="s">
        <v>43</v>
      </c>
      <c r="D10" s="10" t="n">
        <v>46317</v>
      </c>
      <c r="E10" s="10" t="n">
        <v>46320</v>
      </c>
      <c r="F10" s="9" t="n">
        <f aca="false">E10-D10+1</f>
        <v>4</v>
      </c>
      <c r="G10" s="11" t="s">
        <v>33</v>
      </c>
      <c r="H10" s="12" t="n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customFormat="false" ht="15" hidden="false" customHeight="false" outlineLevel="0" collapsed="false">
      <c r="A11" s="9" t="s">
        <v>46</v>
      </c>
      <c r="B11" s="9" t="s">
        <v>47</v>
      </c>
      <c r="C11" s="9" t="s">
        <v>43</v>
      </c>
      <c r="D11" s="10" t="n">
        <v>46321</v>
      </c>
      <c r="E11" s="10" t="n">
        <v>46323</v>
      </c>
      <c r="F11" s="9" t="n">
        <f aca="false">E11-D11+1</f>
        <v>3</v>
      </c>
      <c r="G11" s="11" t="s">
        <v>33</v>
      </c>
      <c r="H11" s="12" t="n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customFormat="false" ht="15" hidden="false" customHeight="false" outlineLevel="0" collapsed="false">
      <c r="A12" s="9" t="s">
        <v>48</v>
      </c>
      <c r="B12" s="9" t="s">
        <v>49</v>
      </c>
      <c r="C12" s="9" t="s">
        <v>50</v>
      </c>
      <c r="D12" s="10" t="n">
        <v>46324</v>
      </c>
      <c r="E12" s="10" t="n">
        <v>46327</v>
      </c>
      <c r="F12" s="9" t="n">
        <f aca="false">E12-D12+1</f>
        <v>4</v>
      </c>
      <c r="G12" s="11" t="s">
        <v>33</v>
      </c>
      <c r="H12" s="12" t="n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customFormat="false" ht="15" hidden="false" customHeight="false" outlineLevel="0" collapsed="false">
      <c r="A13" s="9" t="s">
        <v>51</v>
      </c>
      <c r="B13" s="9" t="s">
        <v>52</v>
      </c>
      <c r="C13" s="9" t="s">
        <v>53</v>
      </c>
      <c r="D13" s="10" t="n">
        <v>46328</v>
      </c>
      <c r="E13" s="10" t="n">
        <v>46330</v>
      </c>
      <c r="F13" s="9" t="n">
        <f aca="false">E13-D13+1</f>
        <v>3</v>
      </c>
      <c r="G13" s="11" t="s">
        <v>33</v>
      </c>
      <c r="H13" s="12" t="n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customFormat="false" ht="15" hidden="false" customHeight="false" outlineLevel="0" collapsed="false">
      <c r="A14" s="9" t="s">
        <v>54</v>
      </c>
      <c r="B14" s="9" t="s">
        <v>55</v>
      </c>
      <c r="C14" s="9" t="s">
        <v>56</v>
      </c>
      <c r="D14" s="10" t="n">
        <v>46331</v>
      </c>
      <c r="E14" s="10" t="n">
        <v>46333</v>
      </c>
      <c r="F14" s="9" t="n">
        <f aca="false">E14-D14+1</f>
        <v>3</v>
      </c>
      <c r="G14" s="11" t="s">
        <v>33</v>
      </c>
      <c r="H14" s="12" t="n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customFormat="false" ht="15" hidden="false" customHeight="false" outlineLevel="0" collapsed="false">
      <c r="A15" s="9" t="s">
        <v>57</v>
      </c>
      <c r="B15" s="9" t="s">
        <v>58</v>
      </c>
      <c r="C15" s="9" t="s">
        <v>56</v>
      </c>
      <c r="D15" s="10" t="n">
        <v>46334</v>
      </c>
      <c r="E15" s="10" t="n">
        <v>46334</v>
      </c>
      <c r="F15" s="9" t="n">
        <f aca="false">E15-D15+1</f>
        <v>1</v>
      </c>
      <c r="G15" s="11" t="s">
        <v>33</v>
      </c>
      <c r="H15" s="12" t="n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7" customFormat="false" ht="15" hidden="false" customHeight="false" outlineLevel="0" collapsed="false">
      <c r="B17" s="6" t="s">
        <v>59</v>
      </c>
      <c r="F17" s="6" t="n">
        <f aca="false">MAX(E5:E15)-MIN(D5:D15)+1</f>
        <v>28</v>
      </c>
    </row>
    <row r="18" customFormat="false" ht="15" hidden="false" customHeight="false" outlineLevel="0" collapsed="false">
      <c r="B18" s="6" t="s">
        <v>60</v>
      </c>
      <c r="H18" s="14" t="n">
        <f aca="false">AVERAGE(H5:H15)</f>
        <v>0</v>
      </c>
    </row>
    <row r="19" customFormat="false" ht="15" hidden="false" customHeight="false" outlineLevel="0" collapsed="false">
      <c r="B19" s="5" t="s">
        <v>61</v>
      </c>
    </row>
  </sheetData>
  <conditionalFormatting sqref="I5:AJ15">
    <cfRule type="expression" priority="2" aboveAverage="0" equalAverage="0" bottom="0" percent="0" rank="0" text="" dxfId="0">
      <formula>AND(I$4&gt;=$D5,I$4&lt;=$E5,$G5="Complete")</formula>
    </cfRule>
    <cfRule type="expression" priority="3" aboveAverage="0" equalAverage="0" bottom="0" percent="0" rank="0" text="" dxfId="1">
      <formula>AND(I$4&gt;=$D5,I$4&lt;=$E5)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55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5" t="s">
        <v>63</v>
      </c>
    </row>
    <row r="4" customFormat="false" ht="15" hidden="false" customHeight="false" outlineLevel="0" collapsed="false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28</v>
      </c>
    </row>
    <row r="5" customFormat="false" ht="30" hidden="false" customHeight="true" outlineLevel="0" collapsed="false">
      <c r="A5" s="4" t="s">
        <v>72</v>
      </c>
      <c r="B5" s="4" t="s">
        <v>73</v>
      </c>
      <c r="C5" s="4" t="s">
        <v>74</v>
      </c>
      <c r="D5" s="15" t="n">
        <v>3</v>
      </c>
      <c r="E5" s="15" t="n">
        <v>5</v>
      </c>
      <c r="F5" s="4" t="n">
        <f aca="false">D5*E5</f>
        <v>15</v>
      </c>
      <c r="G5" s="4" t="str">
        <f aca="false">IF(F5&gt;=15,"High",IF(F5&gt;=8,"Medium","Low"))</f>
        <v>High</v>
      </c>
      <c r="H5" s="4" t="s">
        <v>75</v>
      </c>
      <c r="I5" s="15" t="s">
        <v>76</v>
      </c>
    </row>
    <row r="6" customFormat="false" ht="30" hidden="false" customHeight="true" outlineLevel="0" collapsed="false">
      <c r="A6" s="4" t="s">
        <v>77</v>
      </c>
      <c r="B6" s="4" t="s">
        <v>78</v>
      </c>
      <c r="C6" s="4" t="s">
        <v>79</v>
      </c>
      <c r="D6" s="15" t="n">
        <v>4</v>
      </c>
      <c r="E6" s="15" t="n">
        <v>3</v>
      </c>
      <c r="F6" s="4" t="n">
        <f aca="false">D6*E6</f>
        <v>12</v>
      </c>
      <c r="G6" s="4" t="str">
        <f aca="false">IF(F6&gt;=15,"High",IF(F6&gt;=8,"Medium","Low"))</f>
        <v>Medium</v>
      </c>
      <c r="H6" s="4" t="s">
        <v>80</v>
      </c>
      <c r="I6" s="15" t="s">
        <v>76</v>
      </c>
    </row>
    <row r="7" customFormat="false" ht="30" hidden="false" customHeight="true" outlineLevel="0" collapsed="false">
      <c r="A7" s="4" t="s">
        <v>81</v>
      </c>
      <c r="B7" s="4" t="s">
        <v>82</v>
      </c>
      <c r="C7" s="4" t="s">
        <v>83</v>
      </c>
      <c r="D7" s="15" t="n">
        <v>3</v>
      </c>
      <c r="E7" s="15" t="n">
        <v>3</v>
      </c>
      <c r="F7" s="4" t="n">
        <f aca="false">D7*E7</f>
        <v>9</v>
      </c>
      <c r="G7" s="4" t="str">
        <f aca="false">IF(F7&gt;=15,"High",IF(F7&gt;=8,"Medium","Low"))</f>
        <v>Medium</v>
      </c>
      <c r="H7" s="4" t="s">
        <v>84</v>
      </c>
      <c r="I7" s="15" t="s">
        <v>76</v>
      </c>
    </row>
    <row r="8" customFormat="false" ht="30" hidden="false" customHeight="true" outlineLevel="0" collapsed="false">
      <c r="A8" s="4" t="s">
        <v>85</v>
      </c>
      <c r="B8" s="4" t="s">
        <v>86</v>
      </c>
      <c r="C8" s="4" t="s">
        <v>87</v>
      </c>
      <c r="D8" s="15" t="n">
        <v>3</v>
      </c>
      <c r="E8" s="15" t="n">
        <v>3</v>
      </c>
      <c r="F8" s="4" t="n">
        <f aca="false">D8*E8</f>
        <v>9</v>
      </c>
      <c r="G8" s="4" t="str">
        <f aca="false">IF(F8&gt;=15,"High",IF(F8&gt;=8,"Medium","Low"))</f>
        <v>Medium</v>
      </c>
      <c r="H8" s="4" t="s">
        <v>88</v>
      </c>
      <c r="I8" s="15" t="s">
        <v>76</v>
      </c>
    </row>
    <row r="9" customFormat="false" ht="30" hidden="false" customHeight="true" outlineLevel="0" collapsed="false">
      <c r="A9" s="4" t="s">
        <v>89</v>
      </c>
      <c r="B9" s="4" t="s">
        <v>90</v>
      </c>
      <c r="C9" s="4" t="s">
        <v>74</v>
      </c>
      <c r="D9" s="15" t="n">
        <v>3</v>
      </c>
      <c r="E9" s="15" t="n">
        <v>2</v>
      </c>
      <c r="F9" s="4" t="n">
        <f aca="false">D9*E9</f>
        <v>6</v>
      </c>
      <c r="G9" s="4" t="str">
        <f aca="false">IF(F9&gt;=15,"High",IF(F9&gt;=8,"Medium","Low"))</f>
        <v>Low</v>
      </c>
      <c r="H9" s="4" t="s">
        <v>91</v>
      </c>
      <c r="I9" s="15" t="s">
        <v>76</v>
      </c>
    </row>
    <row r="10" customFormat="false" ht="30" hidden="false" customHeight="true" outlineLevel="0" collapsed="false">
      <c r="A10" s="4" t="s">
        <v>92</v>
      </c>
      <c r="B10" s="4" t="s">
        <v>93</v>
      </c>
      <c r="C10" s="4" t="s">
        <v>74</v>
      </c>
      <c r="D10" s="15" t="n">
        <v>2</v>
      </c>
      <c r="E10" s="15" t="n">
        <v>4</v>
      </c>
      <c r="F10" s="4" t="n">
        <f aca="false">D10*E10</f>
        <v>8</v>
      </c>
      <c r="G10" s="4" t="str">
        <f aca="false">IF(F10&gt;=15,"High",IF(F10&gt;=8,"Medium","Low"))</f>
        <v>Medium</v>
      </c>
      <c r="H10" s="4" t="s">
        <v>94</v>
      </c>
      <c r="I10" s="15" t="s">
        <v>76</v>
      </c>
    </row>
    <row r="11" customFormat="false" ht="30" hidden="false" customHeight="true" outlineLevel="0" collapsed="false">
      <c r="A11" s="4" t="s">
        <v>95</v>
      </c>
      <c r="B11" s="4" t="s">
        <v>96</v>
      </c>
      <c r="C11" s="4" t="s">
        <v>97</v>
      </c>
      <c r="D11" s="15" t="n">
        <v>2</v>
      </c>
      <c r="E11" s="15" t="n">
        <v>2</v>
      </c>
      <c r="F11" s="4" t="n">
        <f aca="false">D11*E11</f>
        <v>4</v>
      </c>
      <c r="G11" s="4" t="str">
        <f aca="false">IF(F11&gt;=15,"High",IF(F11&gt;=8,"Medium","Low"))</f>
        <v>Low</v>
      </c>
      <c r="H11" s="4" t="s">
        <v>98</v>
      </c>
      <c r="I11" s="15" t="s">
        <v>76</v>
      </c>
    </row>
  </sheetData>
  <conditionalFormatting sqref="G5:G11">
    <cfRule type="expression" priority="2" aboveAverage="0" equalAverage="0" bottom="0" percent="0" rank="0" text="" dxfId="2">
      <formula>G5="High"</formula>
    </cfRule>
    <cfRule type="expression" priority="3" aboveAverage="0" equalAverage="0" bottom="0" percent="0" rank="0" text="" dxfId="3">
      <formula>G5="Medium"</formula>
    </cfRule>
    <cfRule type="expression" priority="4" aboveAverage="0" equalAverage="0" bottom="0" percent="0" rank="0" text="" dxfId="4">
      <formula>G5="Low"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5" t="s">
        <v>100</v>
      </c>
    </row>
    <row r="4" customFormat="false" ht="15" hidden="false" customHeight="false" outlineLevel="0" collapsed="false">
      <c r="A4" s="7" t="s">
        <v>24</v>
      </c>
      <c r="B4" s="7" t="s">
        <v>101</v>
      </c>
      <c r="C4" s="7" t="s">
        <v>102</v>
      </c>
      <c r="D4" s="7" t="s">
        <v>103</v>
      </c>
      <c r="E4" s="7" t="s">
        <v>104</v>
      </c>
    </row>
    <row r="5" customFormat="false" ht="15" hidden="false" customHeight="false" outlineLevel="0" collapsed="false">
      <c r="A5" s="9" t="s">
        <v>32</v>
      </c>
      <c r="B5" s="11" t="n">
        <v>3</v>
      </c>
      <c r="C5" s="11"/>
      <c r="D5" s="9" t="str">
        <f aca="false">IF(C5="","",C5-B5)</f>
        <v/>
      </c>
      <c r="E5" s="16" t="str">
        <f aca="false">IF(C5="","",(C5-B5)/B5)</f>
        <v/>
      </c>
    </row>
    <row r="6" customFormat="false" ht="15" hidden="false" customHeight="false" outlineLevel="0" collapsed="false">
      <c r="A6" s="9" t="s">
        <v>38</v>
      </c>
      <c r="B6" s="11" t="n">
        <v>6</v>
      </c>
      <c r="C6" s="11"/>
      <c r="D6" s="9" t="str">
        <f aca="false">IF(C6="","",C6-B6)</f>
        <v/>
      </c>
      <c r="E6" s="16" t="str">
        <f aca="false">IF(C6="","",(C6-B6)/B6)</f>
        <v/>
      </c>
    </row>
    <row r="7" customFormat="false" ht="15" hidden="false" customHeight="false" outlineLevel="0" collapsed="false">
      <c r="A7" s="9" t="s">
        <v>43</v>
      </c>
      <c r="B7" s="11" t="n">
        <v>15</v>
      </c>
      <c r="C7" s="11"/>
      <c r="D7" s="9" t="str">
        <f aca="false">IF(C7="","",C7-B7)</f>
        <v/>
      </c>
      <c r="E7" s="16" t="str">
        <f aca="false">IF(C7="","",(C7-B7)/B7)</f>
        <v/>
      </c>
    </row>
    <row r="8" customFormat="false" ht="15" hidden="false" customHeight="false" outlineLevel="0" collapsed="false">
      <c r="A8" s="9" t="s">
        <v>50</v>
      </c>
      <c r="B8" s="11" t="n">
        <v>6</v>
      </c>
      <c r="C8" s="11"/>
      <c r="D8" s="9" t="str">
        <f aca="false">IF(C8="","",C8-B8)</f>
        <v/>
      </c>
      <c r="E8" s="16" t="str">
        <f aca="false">IF(C8="","",(C8-B8)/B8)</f>
        <v/>
      </c>
    </row>
    <row r="9" customFormat="false" ht="15" hidden="false" customHeight="false" outlineLevel="0" collapsed="false">
      <c r="A9" s="9" t="s">
        <v>53</v>
      </c>
      <c r="B9" s="11" t="n">
        <v>5</v>
      </c>
      <c r="C9" s="11"/>
      <c r="D9" s="9" t="str">
        <f aca="false">IF(C9="","",C9-B9)</f>
        <v/>
      </c>
      <c r="E9" s="16" t="str">
        <f aca="false">IF(C9="","",(C9-B9)/B9)</f>
        <v/>
      </c>
    </row>
    <row r="10" customFormat="false" ht="15" hidden="false" customHeight="false" outlineLevel="0" collapsed="false">
      <c r="A10" s="9" t="s">
        <v>56</v>
      </c>
      <c r="B10" s="11" t="n">
        <v>5</v>
      </c>
      <c r="C10" s="11"/>
      <c r="D10" s="9" t="str">
        <f aca="false">IF(C10="","",C10-B10)</f>
        <v/>
      </c>
      <c r="E10" s="16" t="str">
        <f aca="false">IF(C10="","",(C10-B10)/B10)</f>
        <v/>
      </c>
    </row>
    <row r="11" customFormat="false" ht="15" hidden="false" customHeight="false" outlineLevel="0" collapsed="false">
      <c r="A11" s="17" t="s">
        <v>105</v>
      </c>
      <c r="B11" s="17" t="n">
        <f aca="false">SUM(B5:B10)</f>
        <v>40</v>
      </c>
      <c r="C11" s="17" t="n">
        <f aca="false">SUM(C5:C10)</f>
        <v>0</v>
      </c>
      <c r="D11" s="17" t="str">
        <f aca="false">IF(C11=0,"",C11-B11)</f>
        <v/>
      </c>
      <c r="E11" s="18" t="str">
        <f aca="false">IF(C11=0,"",(C11-B11)/B11)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2026-10-06T02:21:54Z</dcterms:created>
  <dc:creator>openpyxl</dc:creator>
  <dc:description/>
  <dc:language>en-US</dc:language>
  <cp:lastModifiedBy/>
  <dcterms:modified xsi:type="dcterms:W3CDTF">2026-10-06T02:21:54Z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